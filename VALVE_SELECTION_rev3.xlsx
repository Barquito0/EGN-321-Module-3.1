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50b54ed43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30d367722a84116"/>
    <x:sheet xmlns:r="http://schemas.openxmlformats.org/officeDocument/2006/relationships" name="Selection Input" sheetId="2" r:id="R33f43e9318d2456c"/>
    <x:sheet xmlns:r="http://schemas.openxmlformats.org/officeDocument/2006/relationships" name="Legacy Lookup" sheetId="3" r:id="R977073bc8d9d414b"/>
    <x:sheet xmlns:r="http://schemas.openxmlformats.org/officeDocument/2006/relationships" name="Engineering Tables" sheetId="4" r:id="Rb0cb5b10282a49f7"/>
    <x:sheet xmlns:r="http://schemas.openxmlformats.org/officeDocument/2006/relationships" name="Reference Cases" sheetId="5" r:id="Rf2ba2aa2e3f04ffa"/>
    <x:sheet xmlns:r="http://schemas.openxmlformats.org/officeDocument/2006/relationships" name="Supported Ranges" sheetId="6" r:id="Ra920f8510065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4C6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9c98f741141e7" /><Relationship Type="http://schemas.openxmlformats.org/officeDocument/2006/relationships/theme" Target="/xl/theme/theme1.xml" Id="Rfb2c8b423b4e4c71" /><Relationship Type="http://schemas.openxmlformats.org/officeDocument/2006/relationships/sharedStrings" Target="/xl/sharedStrings.xml" Id="R6271841e19b64765" /><Relationship Type="http://schemas.openxmlformats.org/officeDocument/2006/relationships/worksheet" Target="/xl/worksheets/sheet1.xml" Id="R030d367722a84116" /><Relationship Type="http://schemas.openxmlformats.org/officeDocument/2006/relationships/worksheet" Target="/xl/worksheets/sheet2.xml" Id="R33f43e9318d2456c" /><Relationship Type="http://schemas.openxmlformats.org/officeDocument/2006/relationships/worksheet" Target="/xl/worksheets/sheet3.xml" Id="R977073bc8d9d414b" /><Relationship Type="http://schemas.openxmlformats.org/officeDocument/2006/relationships/worksheet" Target="/xl/worksheets/sheet4.xml" Id="Rb0cb5b10282a49f7" /><Relationship Type="http://schemas.openxmlformats.org/officeDocument/2006/relationships/worksheet" Target="/xl/worksheets/sheet5.xml" Id="Rf2ba2aa2e3f04ffa" /><Relationship Type="http://schemas.openxmlformats.org/officeDocument/2006/relationships/worksheet" Target="/xl/worksheets/sheet6.xml" Id="Ra920f851006543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>
      <x:c r="A1" s="5" t="str">
        <x:v>EGN 321 — Module 3 Assignment 3.1</x:v>
      </x:c>
      <x:c r="B1" s="5"/>
      <x:c r="C1" s="5"/>
      <x:c r="D1" s="5"/>
      <x:c r="E1" s="5"/>
      <x:c r="F1" s="5"/>
    </x:row>
    <x:row r="3">
      <x:c r="A3" s="11" t="str">
        <x:v>VALVE_SELECTION_rev3.xlsx — Inherited Lookup Workbook</x:v>
      </x:c>
      <x:c r="B3" s="11"/>
      <x:c r="C3" s="11"/>
      <x:c r="D3" s="11"/>
      <x:c r="E3" s="11"/>
      <x:c r="F3" s="11"/>
    </x:row>
    <x:row r="5">
      <x:c r="A5" s="16" t="str">
        <x:v>Purpose</x:v>
      </x:c>
      <x:c r="B5" s="17" t="str">
        <x:v>Select a recommended valve coefficient from an engineering table using valve family and operating temperature.</x:v>
      </x:c>
    </x:row>
    <x:row r="6">
      <x:c r="A6" s="16" t="str">
        <x:v>Module 3 focus</x:v>
      </x:c>
      <x:c r="B6" s="17" t="str">
        <x:v>Replace difficult-to-read spreadsheet lookup logic with a readable Python table structure, exact lookup, interpolation, and explicit refusal to extrapolate.</x:v>
      </x:c>
    </x:row>
    <x:row r="7">
      <x:c r="A7" s="16" t="str">
        <x:v>Lookup criteria</x:v>
      </x:c>
      <x:c r="B7" s="17" t="str">
        <x:v>Criterion 1: valve family. Criterion 2: operating temperature.</x:v>
      </x:c>
    </x:row>
    <x:row r="8">
      <x:c r="A8" s="16" t="str">
        <x:v>Interpolation</x:v>
      </x:c>
      <x:c r="B8" s="17" t="str">
        <x:v>When temperature falls between two listed rows, estimate the coefficient by linear interpolation.</x:v>
      </x:c>
    </x:row>
    <x:row r="9">
      <x:c r="A9" s="16" t="str">
        <x:v>Extrapolation</x:v>
      </x:c>
      <x:c r="B9" s="17" t="str">
        <x:v>Do not estimate below the minimum or above the maximum supported temperature for the selected family.</x:v>
      </x:c>
    </x:row>
    <x:row r="10">
      <x:c r="A10" s="16" t="str">
        <x:v>Important</x:v>
      </x:c>
      <x:c r="B10" s="17" t="str">
        <x:v>A mathematically computable value is not automatically an engineering-supported value.</x:v>
      </x:c>
    </x:row>
    <x:row r="11">
      <x:c r="A11" s="16" t="str">
        <x:v>Reference cases</x:v>
      </x:c>
      <x:c r="B11" s="17" t="str">
        <x:v>Use the Reference Cases sheet as independent evidence for tests.</x:v>
      </x:c>
    </x:row>
    <x:row r="12">
      <x:c r="A12" s="16" t="str">
        <x:v>Data source</x:v>
      </x:c>
      <x:c r="B12" s="17" t="str">
        <x:v>The Engineering Tables sheet is the authoritative lookup dataset for this assignment.</x:v>
      </x:c>
    </x:row>
    <x:row r="13">
      <x:c r="A13" s="16" t="str">
        <x:v>Submission</x:v>
      </x:c>
      <x:c r="B13" s="17" t="str">
        <x:v>Your final deliverable is a tested Python tool in GitHub, not a rewritten spreadsheet.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48" hidden="0" customWidth="1"/>
  </x:cols>
  <x:sheetData>
    <x:row r="1">
      <x:c r="A1" s="5" t="str">
        <x:v>Legacy Selection Inputs</x:v>
      </x:c>
      <x:c r="B1" s="5"/>
      <x:c r="C1" s="5"/>
      <x:c r="D1" s="5"/>
    </x:row>
    <x:row r="3">
      <x:c r="A3" s="24" t="str">
        <x:v>Input</x:v>
      </x:c>
      <x:c r="B3" s="24" t="str">
        <x:v>Value</x:v>
      </x:c>
      <x:c r="C3" s="24" t="str">
        <x:v>Unit</x:v>
      </x:c>
      <x:c r="D3" s="24" t="str">
        <x:v>Notes</x:v>
      </x:c>
    </x:row>
    <x:row r="4">
      <x:c r="A4" t="str">
        <x:v>Valve Family</x:v>
      </x:c>
      <x:c r="B4" t="str">
        <x:v>VX-200</x:v>
      </x:c>
      <x:c r="C4" t="str">
        <x:v>category</x:v>
      </x:c>
      <x:c r="D4" t="str">
        <x:v>Must match a supported family</x:v>
      </x:c>
    </x:row>
    <x:row r="5">
      <x:c r="A5" t="str">
        <x:v>Operating Temperature</x:v>
      </x:c>
      <x:c r="B5" t="n">
        <x:v>65</x:v>
      </x:c>
      <x:c r="C5" t="str">
        <x:v>deg C</x:v>
      </x:c>
      <x:c r="D5" t="str">
        <x:v>May be an exact table row or between rows</x:v>
      </x:c>
    </x:row>
    <x:row r="6">
      <x:c r="A6" t="str">
        <x:v>Requested Mode</x:v>
      </x:c>
      <x:c r="B6" t="str">
        <x:v>Selection</x:v>
      </x:c>
      <x:c r="C6" t="str">
        <x:v>text</x:v>
      </x:c>
      <x:c r="D6" t="str">
        <x:v>This workbook returns a coefficient for later use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48" hidden="0" customWidth="1"/>
    <x:col min="4" max="4" width="24" hidden="0" customWidth="1"/>
    <x:col min="5" max="5" width="12" hidden="0" customWidth="1"/>
    <x:col min="6" max="6" width="40" hidden="0" customWidth="1"/>
  </x:cols>
  <x:sheetData>
    <x:row r="1">
      <x:c r="A1" s="5" t="str">
        <x:v>Legacy Nested Lookup Logic</x:v>
      </x:c>
      <x:c r="B1" s="5"/>
      <x:c r="C1" s="5"/>
      <x:c r="D1" s="5"/>
      <x:c r="E1" s="5"/>
      <x:c r="F1" s="5"/>
    </x:row>
    <x:row r="3">
      <x:c r="A3" s="24" t="str">
        <x:v>Step</x:v>
      </x:c>
      <x:c r="B3" s="24" t="str">
        <x:v>Description</x:v>
      </x:c>
      <x:c r="C3" s="24" t="str">
        <x:v>Formula / Logic</x:v>
      </x:c>
      <x:c r="D3" s="24" t="str">
        <x:v>Result</x:v>
      </x:c>
      <x:c r="E3" s="24" t="str">
        <x:v>Unit</x:v>
      </x:c>
      <x:c r="F3" s="24" t="str">
        <x:v>Comment</x:v>
      </x:c>
    </x:row>
    <x:row r="4">
      <x:c r="A4" s="17" t="n">
        <x:v>1</x:v>
      </x:c>
      <x:c r="B4" s="17" t="str">
        <x:v>Selected family</x:v>
      </x:c>
      <x:c r="C4" s="17" t="str">
        <x:v>Selection Input!B4</x:v>
      </x:c>
      <x:c r="D4" s="17" t="str">
        <x:f>'Selection Input'!B4</x:f>
        <x:v>VX-200</x:v>
      </x:c>
      <x:c r="E4" s="17" t="str">
        <x:v>category</x:v>
      </x:c>
      <x:c r="F4" s="17" t="str">
        <x:v>First criterion</x:v>
      </x:c>
    </x:row>
    <x:row r="5">
      <x:c r="A5" s="17" t="n">
        <x:v>2</x:v>
      </x:c>
      <x:c r="B5" s="17" t="str">
        <x:v>Requested temperature</x:v>
      </x:c>
      <x:c r="C5" s="17" t="str">
        <x:v>Selection Input!B5</x:v>
      </x:c>
      <x:c r="D5" s="17" t="n">
        <x:f>'Selection Input'!B5</x:f>
        <x:v>65</x:v>
      </x:c>
      <x:c r="E5" s="17" t="str">
        <x:v>deg C</x:v>
      </x:c>
      <x:c r="F5" s="17" t="str">
        <x:v>Second criterion</x:v>
      </x:c>
    </x:row>
    <x:row r="6">
      <x:c r="A6" s="17" t="n">
        <x:v>3</x:v>
      </x:c>
      <x:c r="B6" s="17" t="str">
        <x:v>Nested branch</x:v>
      </x:c>
      <x:c r="C6" s="17" t="str">
        <x:v>IF family=VX-100 ... ELSE IF VX-200 ... ELSE IF VX-300</x:v>
      </x:c>
      <x:c r="D6" s="17" t="str">
        <x:v>Nested IF/MATCH/INDEX</x:v>
      </x:c>
      <x:c r="E6" s="17" t="str">
        <x:v>text</x:v>
      </x:c>
      <x:c r="F6" s="17" t="str">
        <x:v>Hard to audit</x:v>
      </x:c>
    </x:row>
    <x:row r="7">
      <x:c r="A7" s="17" t="n">
        <x:v>4</x:v>
      </x:c>
      <x:c r="B7" s="17" t="str">
        <x:v>Lower table row</x:v>
      </x:c>
      <x:c r="C7" s="17" t="str">
        <x:v>Approximate MATCH against temperature</x:v>
      </x:c>
      <x:c r="D7" s="17" t="str">
        <x:v>depends on family</x:v>
      </x:c>
      <x:c r="E7" s="17" t="str">
        <x:v>row</x:v>
      </x:c>
      <x:c r="F7" s="17" t="str">
        <x:v>Depends on selected family</x:v>
      </x:c>
    </x:row>
    <x:row r="8">
      <x:c r="A8" s="17" t="n">
        <x:v>5</x:v>
      </x:c>
      <x:c r="B8" s="17" t="str">
        <x:v>Upper table row</x:v>
      </x:c>
      <x:c r="C8" s="17" t="str">
        <x:v>Lower row + 1</x:v>
      </x:c>
      <x:c r="D8" s="17" t="str">
        <x:v>depends on family</x:v>
      </x:c>
      <x:c r="E8" s="17" t="str">
        <x:v>row</x:v>
      </x:c>
      <x:c r="F8" s="17" t="str">
        <x:v>Breaks at upper edge</x:v>
      </x:c>
    </x:row>
    <x:row r="9">
      <x:c r="A9" s="17" t="n">
        <x:v>6</x:v>
      </x:c>
      <x:c r="B9" s="17" t="str">
        <x:v>Returned coefficient</x:v>
      </x:c>
      <x:c r="C9" s="17" t="str">
        <x:v>Exact lookup or interpolation</x:v>
      </x:c>
      <x:c r="D9" s="17" t="str">
        <x:v>manual / nested result</x:v>
      </x:c>
      <x:c r="E9" s="17" t="str">
        <x:v>ratio</x:v>
      </x:c>
      <x:c r="F9" s="17" t="str">
        <x:v>Workbook does not clearly distinguish interpolation/extrapolation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2" hidden="0" customWidth="1"/>
    <x:col min="5" max="5" width="36" hidden="0" customWidth="1"/>
  </x:cols>
  <x:sheetData>
    <x:row r="1">
      <x:c r="A1" s="5" t="str">
        <x:v>Engineering Lookup Tables</x:v>
      </x:c>
      <x:c r="B1" s="5"/>
      <x:c r="C1" s="5"/>
      <x:c r="D1" s="5"/>
      <x:c r="E1" s="5"/>
    </x:row>
    <x:row r="3">
      <x:c r="A3" s="24" t="str">
        <x:v>Valve Family</x:v>
      </x:c>
      <x:c r="B3" s="24" t="str">
        <x:v>Temperature (deg C)</x:v>
      </x:c>
      <x:c r="C3" s="24" t="str">
        <x:v>Coefficient</x:v>
      </x:c>
      <x:c r="D3" s="24" t="str">
        <x:v>Valid?</x:v>
      </x:c>
      <x:c r="E3" s="24" t="str">
        <x:v>Source Note</x:v>
      </x:c>
    </x:row>
    <x:row r="4">
      <x:c r="A4" s="17" t="str">
        <x:v>VX-100</x:v>
      </x:c>
      <x:c r="B4" s="32" t="n">
        <x:v>20</x:v>
      </x:c>
      <x:c r="C4" s="32" t="n">
        <x:v>0.88</x:v>
      </x:c>
      <x:c r="D4" s="17" t="str">
        <x:v>Yes</x:v>
      </x:c>
      <x:c r="E4" s="17" t="str">
        <x:v>Course-provided reference table</x:v>
      </x:c>
    </x:row>
    <x:row r="5">
      <x:c r="A5" s="17" t="str">
        <x:v>VX-100</x:v>
      </x:c>
      <x:c r="B5" s="32" t="n">
        <x:v>40</x:v>
      </x:c>
      <x:c r="C5" s="32" t="n">
        <x:v>0.93</x:v>
      </x:c>
      <x:c r="D5" s="17" t="str">
        <x:v>Yes</x:v>
      </x:c>
      <x:c r="E5" s="17" t="str">
        <x:v>Course-provided reference table</x:v>
      </x:c>
    </x:row>
    <x:row r="6">
      <x:c r="A6" s="17" t="str">
        <x:v>VX-100</x:v>
      </x:c>
      <x:c r="B6" s="32" t="n">
        <x:v>60</x:v>
      </x:c>
      <x:c r="C6" s="32" t="n">
        <x:v>0.99</x:v>
      </x:c>
      <x:c r="D6" s="17" t="str">
        <x:v>Yes</x:v>
      </x:c>
      <x:c r="E6" s="17" t="str">
        <x:v>Course-provided reference table</x:v>
      </x:c>
    </x:row>
    <x:row r="7">
      <x:c r="A7" s="17" t="str">
        <x:v>VX-100</x:v>
      </x:c>
      <x:c r="B7" s="32" t="n">
        <x:v>80</x:v>
      </x:c>
      <x:c r="C7" s="32" t="n">
        <x:v>1.06</x:v>
      </x:c>
      <x:c r="D7" s="17" t="str">
        <x:v>Yes</x:v>
      </x:c>
      <x:c r="E7" s="17" t="str">
        <x:v>Course-provided reference table</x:v>
      </x:c>
    </x:row>
    <x:row r="8">
      <x:c r="A8" s="17" t="str">
        <x:v>VX-100</x:v>
      </x:c>
      <x:c r="B8" s="32" t="n">
        <x:v>100</x:v>
      </x:c>
      <x:c r="C8" s="32" t="n">
        <x:v>1.14</x:v>
      </x:c>
      <x:c r="D8" s="17" t="str">
        <x:v>Yes</x:v>
      </x:c>
      <x:c r="E8" s="17" t="str">
        <x:v>Course-provided reference table</x:v>
      </x:c>
    </x:row>
    <x:row r="9">
      <x:c r="A9" s="17" t="str">
        <x:v>VX-200</x:v>
      </x:c>
      <x:c r="B9" s="32" t="n">
        <x:v>10</x:v>
      </x:c>
      <x:c r="C9" s="32" t="n">
        <x:v>1.1</x:v>
      </x:c>
      <x:c r="D9" s="17" t="str">
        <x:v>Yes</x:v>
      </x:c>
      <x:c r="E9" s="17" t="str">
        <x:v>Course-provided reference table</x:v>
      </x:c>
    </x:row>
    <x:row r="10">
      <x:c r="A10" s="17" t="str">
        <x:v>VX-200</x:v>
      </x:c>
      <x:c r="B10" s="32" t="n">
        <x:v>30</x:v>
      </x:c>
      <x:c r="C10" s="32" t="n">
        <x:v>1.18</x:v>
      </x:c>
      <x:c r="D10" s="17" t="str">
        <x:v>Yes</x:v>
      </x:c>
      <x:c r="E10" s="17" t="str">
        <x:v>Course-provided reference table</x:v>
      </x:c>
    </x:row>
    <x:row r="11">
      <x:c r="A11" s="17" t="str">
        <x:v>VX-200</x:v>
      </x:c>
      <x:c r="B11" s="32" t="n">
        <x:v>50</x:v>
      </x:c>
      <x:c r="C11" s="32" t="n">
        <x:v>1.27</x:v>
      </x:c>
      <x:c r="D11" s="17" t="str">
        <x:v>Yes</x:v>
      </x:c>
      <x:c r="E11" s="17" t="str">
        <x:v>Course-provided reference table</x:v>
      </x:c>
    </x:row>
    <x:row r="12">
      <x:c r="A12" s="17" t="str">
        <x:v>VX-200</x:v>
      </x:c>
      <x:c r="B12" s="32" t="n">
        <x:v>70</x:v>
      </x:c>
      <x:c r="C12" s="32" t="n">
        <x:v>1.39</x:v>
      </x:c>
      <x:c r="D12" s="17" t="str">
        <x:v>Yes</x:v>
      </x:c>
      <x:c r="E12" s="17" t="str">
        <x:v>Course-provided reference table</x:v>
      </x:c>
    </x:row>
    <x:row r="13">
      <x:c r="A13" s="17" t="str">
        <x:v>VX-200</x:v>
      </x:c>
      <x:c r="B13" s="32" t="n">
        <x:v>90</x:v>
      </x:c>
      <x:c r="C13" s="32" t="n">
        <x:v>1.54</x:v>
      </x:c>
      <x:c r="D13" s="17" t="str">
        <x:v>Yes</x:v>
      </x:c>
      <x:c r="E13" s="17" t="str">
        <x:v>Course-provided reference table</x:v>
      </x:c>
    </x:row>
    <x:row r="14">
      <x:c r="A14" s="17" t="str">
        <x:v>VX-300</x:v>
      </x:c>
      <x:c r="B14" s="32" t="n">
        <x:v>25</x:v>
      </x:c>
      <x:c r="C14" s="32" t="n">
        <x:v>1.42</x:v>
      </x:c>
      <x:c r="D14" s="17" t="str">
        <x:v>Yes</x:v>
      </x:c>
      <x:c r="E14" s="17" t="str">
        <x:v>Course-provided reference table</x:v>
      </x:c>
    </x:row>
    <x:row r="15">
      <x:c r="A15" s="17" t="str">
        <x:v>VX-300</x:v>
      </x:c>
      <x:c r="B15" s="32" t="n">
        <x:v>50</x:v>
      </x:c>
      <x:c r="C15" s="32" t="n">
        <x:v>1.55</x:v>
      </x:c>
      <x:c r="D15" s="17" t="str">
        <x:v>Yes</x:v>
      </x:c>
      <x:c r="E15" s="17" t="str">
        <x:v>Course-provided reference table</x:v>
      </x:c>
    </x:row>
    <x:row r="16">
      <x:c r="A16" s="17" t="str">
        <x:v>VX-300</x:v>
      </x:c>
      <x:c r="B16" s="32" t="n">
        <x:v>75</x:v>
      </x:c>
      <x:c r="C16" s="32" t="n">
        <x:v>1.71</x:v>
      </x:c>
      <x:c r="D16" s="17" t="str">
        <x:v>Yes</x:v>
      </x:c>
      <x:c r="E16" s="17" t="str">
        <x:v>Course-provided reference table</x:v>
      </x:c>
    </x:row>
    <x:row r="17">
      <x:c r="A17" s="17" t="str">
        <x:v>VX-300</x:v>
      </x:c>
      <x:c r="B17" s="32" t="n">
        <x:v>100</x:v>
      </x:c>
      <x:c r="C17" s="32" t="n">
        <x:v>1.9</x:v>
      </x:c>
      <x:c r="D17" s="17" t="str">
        <x:v>Yes</x:v>
      </x:c>
      <x:c r="E17" s="17" t="str">
        <x:v>Course-provided reference table</x:v>
      </x:c>
    </x:row>
    <x:row r="18">
      <x:c r="A18" s="17" t="str">
        <x:v>VX-300</x:v>
      </x:c>
      <x:c r="B18" s="32" t="n">
        <x:v>125</x:v>
      </x:c>
      <x:c r="C18" s="32" t="n">
        <x:v>2.12</x:v>
      </x:c>
      <x:c r="D18" s="17" t="str">
        <x:v>Yes</x:v>
      </x:c>
      <x:c r="E18" s="17" t="str">
        <x:v>Course-provided reference table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24" hidden="0" customWidth="1"/>
    <x:col min="7" max="7" width="34" hidden="0" customWidth="1"/>
  </x:cols>
  <x:sheetData>
    <x:row r="1">
      <x:c r="A1" s="5" t="str">
        <x:v>Reference Cases for Verification</x:v>
      </x:c>
      <x:c r="B1" s="5"/>
      <x:c r="C1" s="5"/>
      <x:c r="D1" s="5"/>
      <x:c r="E1" s="5"/>
      <x:c r="F1" s="5"/>
      <x:c r="G1" s="5"/>
    </x:row>
    <x:row r="3">
      <x:c r="A3" s="24" t="str">
        <x:v>Case ID</x:v>
      </x:c>
      <x:c r="B3" s="24" t="str">
        <x:v>Valve Family</x:v>
      </x:c>
      <x:c r="C3" s="24" t="str">
        <x:v>Temperature (deg C)</x:v>
      </x:c>
      <x:c r="D3" s="24" t="str">
        <x:v>Expected Coefficient</x:v>
      </x:c>
      <x:c r="E3" s="24" t="str">
        <x:v>Case Type</x:v>
      </x:c>
      <x:c r="F3" s="24" t="str">
        <x:v>Expected Behavior</x:v>
      </x:c>
      <x:c r="G3" s="24" t="str">
        <x:v>Notes</x:v>
      </x:c>
    </x:row>
    <x:row r="4">
      <x:c r="A4" t="str">
        <x:v>RC-01</x:v>
      </x:c>
      <x:c r="B4" t="str">
        <x:v>VX-100</x:v>
      </x:c>
      <x:c r="C4" s="30" t="n">
        <x:v>20</x:v>
      </x:c>
      <x:c r="D4" s="30" t="n">
        <x:v>0.88</x:v>
      </x:c>
      <x:c r="E4" t="str">
        <x:v>Exact</x:v>
      </x:c>
      <x:c r="F4" t="str">
        <x:v>Return coefficient</x:v>
      </x:c>
      <x:c r="G4" t="str">
        <x:v>Minimum boundary</x:v>
      </x:c>
    </x:row>
    <x:row r="5">
      <x:c r="A5" t="str">
        <x:v>RC-02</x:v>
      </x:c>
      <x:c r="B5" t="str">
        <x:v>VX-100</x:v>
      </x:c>
      <x:c r="C5" s="30" t="n">
        <x:v>50</x:v>
      </x:c>
      <x:c r="D5" s="30" t="n">
        <x:v>0.96</x:v>
      </x:c>
      <x:c r="E5" t="str">
        <x:v>Interpolation</x:v>
      </x:c>
      <x:c r="F5" t="str">
        <x:v>Return coefficient</x:v>
      </x:c>
      <x:c r="G5" t="str">
        <x:v>Between 40 and 60</x:v>
      </x:c>
    </x:row>
    <x:row r="6">
      <x:c r="A6" t="str">
        <x:v>RC-03</x:v>
      </x:c>
      <x:c r="B6" t="str">
        <x:v>VX-200</x:v>
      </x:c>
      <x:c r="C6" s="30" t="n">
        <x:v>65</x:v>
      </x:c>
      <x:c r="D6" s="30" t="n">
        <x:v>1.3599999999999999</x:v>
      </x:c>
      <x:c r="E6" t="str">
        <x:v>Interpolation</x:v>
      </x:c>
      <x:c r="F6" t="str">
        <x:v>Return coefficient</x:v>
      </x:c>
      <x:c r="G6" t="str">
        <x:v>Between 50 and 70</x:v>
      </x:c>
    </x:row>
    <x:row r="7">
      <x:c r="A7" t="str">
        <x:v>RC-04</x:v>
      </x:c>
      <x:c r="B7" t="str">
        <x:v>VX-200</x:v>
      </x:c>
      <x:c r="C7" s="30" t="n">
        <x:v>90</x:v>
      </x:c>
      <x:c r="D7" s="30" t="n">
        <x:v>1.54</x:v>
      </x:c>
      <x:c r="E7" t="str">
        <x:v>Exact</x:v>
      </x:c>
      <x:c r="F7" t="str">
        <x:v>Return coefficient</x:v>
      </x:c>
      <x:c r="G7" t="str">
        <x:v>Maximum boundary</x:v>
      </x:c>
    </x:row>
    <x:row r="8">
      <x:c r="A8" t="str">
        <x:v>RC-05</x:v>
      </x:c>
      <x:c r="B8" t="str">
        <x:v>VX-300</x:v>
      </x:c>
      <x:c r="C8" s="30" t="n">
        <x:v>62.5</x:v>
      </x:c>
      <x:c r="D8" s="30" t="n">
        <x:v>1.63</x:v>
      </x:c>
      <x:c r="E8" t="str">
        <x:v>Interpolation</x:v>
      </x:c>
      <x:c r="F8" t="str">
        <x:v>Return coefficient</x:v>
      </x:c>
      <x:c r="G8" t="str">
        <x:v>Midpoint between 50 and 75</x:v>
      </x:c>
    </x:row>
    <x:row r="9">
      <x:c r="A9" t="str">
        <x:v>RC-06</x:v>
      </x:c>
      <x:c r="B9" t="str">
        <x:v>VX-300</x:v>
      </x:c>
      <x:c r="C9" s="30" t="n">
        <x:v>125</x:v>
      </x:c>
      <x:c r="D9" s="30" t="n">
        <x:v>2.12</x:v>
      </x:c>
      <x:c r="E9" t="str">
        <x:v>Exact</x:v>
      </x:c>
      <x:c r="F9" t="str">
        <x:v>Return coefficient</x:v>
      </x:c>
      <x:c r="G9" t="str">
        <x:v>Maximum boundary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8" hidden="0" customWidth="1"/>
    <x:col min="5" max="5" width="42" hidden="0" customWidth="1"/>
  </x:cols>
  <x:sheetData>
    <x:row r="1">
      <x:c r="A1" s="5" t="str">
        <x:v>Supported Lookup Ranges</x:v>
      </x:c>
      <x:c r="B1" s="5"/>
      <x:c r="C1" s="5"/>
      <x:c r="D1" s="5"/>
      <x:c r="E1" s="5"/>
    </x:row>
    <x:row r="3">
      <x:c r="A3" s="24" t="str">
        <x:v>Valve Family</x:v>
      </x:c>
      <x:c r="B3" s="24" t="str">
        <x:v>Minimum Temp (deg C)</x:v>
      </x:c>
      <x:c r="C3" s="24" t="str">
        <x:v>Maximum Temp (deg C)</x:v>
      </x:c>
      <x:c r="D3" s="24" t="str">
        <x:v>Outside Range</x:v>
      </x:c>
      <x:c r="E3" s="24" t="str">
        <x:v>Required Behavior</x:v>
      </x:c>
    </x:row>
    <x:row r="4">
      <x:c r="A4" s="17" t="str">
        <x:v>VX-100</x:v>
      </x:c>
      <x:c r="B4" s="17" t="n">
        <x:v>20</x:v>
      </x:c>
      <x:c r="C4" s="17" t="n">
        <x:v>100</x:v>
      </x:c>
      <x:c r="D4" s="17" t="str">
        <x:v>Unsupported</x:v>
      </x:c>
      <x:c r="E4" s="17" t="str">
        <x:v>Raise ValueError; do not extrapolate</x:v>
      </x:c>
    </x:row>
    <x:row r="5">
      <x:c r="A5" s="17" t="str">
        <x:v>VX-200</x:v>
      </x:c>
      <x:c r="B5" s="17" t="n">
        <x:v>10</x:v>
      </x:c>
      <x:c r="C5" s="17" t="n">
        <x:v>90</x:v>
      </x:c>
      <x:c r="D5" s="17" t="str">
        <x:v>Unsupported</x:v>
      </x:c>
      <x:c r="E5" s="17" t="str">
        <x:v>Raise ValueError; do not extrapolate</x:v>
      </x:c>
    </x:row>
    <x:row r="6">
      <x:c r="A6" s="17" t="str">
        <x:v>VX-300</x:v>
      </x:c>
      <x:c r="B6" s="17" t="n">
        <x:v>25</x:v>
      </x:c>
      <x:c r="C6" s="17" t="n">
        <x:v>125</x:v>
      </x:c>
      <x:c r="D6" s="17" t="str">
        <x:v>Unsupported</x:v>
      </x:c>
      <x:c r="E6" s="17" t="str">
        <x:v>Raise ValueError; do not extrapolate</x:v>
      </x:c>
    </x:row>
  </x:sheetData>
  <x:mergeCells>
    <x:mergeCell ref="A1:E1"/>
  </x:mergeCells>
  <x:pageMargins left="0.7" right="0.7" top="0.75" bottom="0.75" header="0.3" footer="0.3"/>
</x:worksheet>
</file>